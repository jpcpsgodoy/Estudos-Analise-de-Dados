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62A023CD-81C8-4145-9D54-F08F0317898C}" xr6:coauthVersionLast="47" xr6:coauthVersionMax="47" xr10:uidLastSave="{00000000-0000-0000-0000-000000000000}"/>
  <bookViews>
    <workbookView xWindow="57480" yWindow="-120" windowWidth="29040" windowHeight="16440" xr2:uid="{622B0F4C-E256-446E-B5AC-66D6225C39AF}"/>
  </bookViews>
  <sheets>
    <sheet name="Order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M8" i="1"/>
  <c r="M9" i="1"/>
  <c r="M10" i="1"/>
  <c r="M11" i="1"/>
  <c r="M12" i="1"/>
  <c r="M13" i="1"/>
  <c r="M14" i="1"/>
  <c r="M15" i="1"/>
  <c r="M16" i="1"/>
  <c r="M7" i="1"/>
  <c r="L8" i="1" a="1"/>
  <c r="L8" i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7" i="1" a="1"/>
  <c r="L7" i="1"/>
  <c r="H8" i="1"/>
  <c r="H9" i="1"/>
  <c r="H10" i="1"/>
  <c r="H11" i="1"/>
  <c r="H12" i="1"/>
  <c r="H13" i="1"/>
  <c r="H14" i="1"/>
  <c r="H15" i="1"/>
  <c r="H16" i="1"/>
  <c r="I8" i="1"/>
  <c r="H7" i="1"/>
  <c r="I16" i="1"/>
  <c r="G8" i="1"/>
  <c r="G9" i="1"/>
  <c r="G10" i="1"/>
  <c r="G11" i="1"/>
  <c r="G12" i="1"/>
  <c r="G13" i="1"/>
  <c r="G14" i="1"/>
  <c r="I14" i="1" s="1"/>
  <c r="G15" i="1"/>
  <c r="I15" i="1" s="1"/>
  <c r="G16" i="1"/>
  <c r="G7" i="1"/>
  <c r="I13" i="1" l="1"/>
  <c r="K13" i="1" s="1"/>
  <c r="I12" i="1"/>
  <c r="K12" i="1" s="1"/>
  <c r="I11" i="1"/>
  <c r="K11" i="1" s="1"/>
  <c r="I9" i="1"/>
  <c r="K9" i="1" s="1"/>
  <c r="I10" i="1"/>
  <c r="K10" i="1" s="1"/>
  <c r="I7" i="1"/>
  <c r="K7" i="1" s="1"/>
  <c r="K15" i="1"/>
  <c r="K14" i="1"/>
  <c r="K16" i="1"/>
  <c r="K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<sst xmlns="http://schemas.openxmlformats.org/spreadsheetml/2006/main" count="72" uniqueCount="52">
  <si>
    <t>Pricing Sheet</t>
  </si>
  <si>
    <t>Delivery Charges</t>
  </si>
  <si>
    <t>Total Sales by Region</t>
  </si>
  <si>
    <t>Region A</t>
  </si>
  <si>
    <t>Region B</t>
  </si>
  <si>
    <t>Region C</t>
  </si>
  <si>
    <t>Stock Code</t>
  </si>
  <si>
    <t>Category</t>
  </si>
  <si>
    <t>Type</t>
  </si>
  <si>
    <t>Supplier</t>
  </si>
  <si>
    <t>Cost per Unit</t>
  </si>
  <si>
    <t>Quantity Ordered</t>
  </si>
  <si>
    <t>Subtotal</t>
  </si>
  <si>
    <t>Discount Rate</t>
  </si>
  <si>
    <t>Discount Amount</t>
  </si>
  <si>
    <t>Delivery Region</t>
  </si>
  <si>
    <t>Total (excluding delivery)</t>
  </si>
  <si>
    <t>Delivery Charge</t>
  </si>
  <si>
    <t>Total (Including Delivery)</t>
  </si>
  <si>
    <t>BT108</t>
  </si>
  <si>
    <t>Tyres</t>
  </si>
  <si>
    <t>Tubular</t>
  </si>
  <si>
    <t>Tyresaz</t>
  </si>
  <si>
    <t>B</t>
  </si>
  <si>
    <t>BT109</t>
  </si>
  <si>
    <t>Clincher</t>
  </si>
  <si>
    <t>A</t>
  </si>
  <si>
    <t>SC224</t>
  </si>
  <si>
    <t>Frames</t>
  </si>
  <si>
    <t>A2Mountain</t>
  </si>
  <si>
    <t>Imortadores Neptuno</t>
  </si>
  <si>
    <t>SC225</t>
  </si>
  <si>
    <t>14City</t>
  </si>
  <si>
    <t>C</t>
  </si>
  <si>
    <t>JF187</t>
  </si>
  <si>
    <t>Gear Components</t>
  </si>
  <si>
    <t>derailleurs</t>
  </si>
  <si>
    <t>Z123</t>
  </si>
  <si>
    <t>JF188</t>
  </si>
  <si>
    <t>belt drives</t>
  </si>
  <si>
    <t>SN306</t>
  </si>
  <si>
    <t>Saddles</t>
  </si>
  <si>
    <t>All Weather</t>
  </si>
  <si>
    <t>Sadleab</t>
  </si>
  <si>
    <t>SN307</t>
  </si>
  <si>
    <t>Racing</t>
  </si>
  <si>
    <t>BS509</t>
  </si>
  <si>
    <t>Brake Systems</t>
  </si>
  <si>
    <t>Levers</t>
  </si>
  <si>
    <t>Cylesaz</t>
  </si>
  <si>
    <t>BS510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</si>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</sst>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$-409]* #,##0.00_ ;_-[$$-409]* \-#,##0.00\ ;_-[$$-409]* &quot;-&quot;??_ ;_-@_ "/>
  </numFmts>
  <fonts count="7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2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A0C-5CC8-419C-8BA8-1410FD083070}">
  <dimension ref="A1:M16"/>
  <sheetViews>
    <sheetView tabSelected="1" topLeftCell="Q1" workbookViewId="0">
      <selection activeCell="U3" sqref="T3:W4"/>
    </sheetView>
  </sheetViews>
  <sheetFormatPr defaultRowHeight="14.45"/>
  <cols>
    <col min="2" max="2" width="17" bestFit="1" customWidth="1"/>
    <col min="3" max="3" width="17" customWidth="1"/>
    <col min="4" max="4" width="20.42578125" bestFit="1" customWidth="1"/>
    <col min="6" max="6" width="11.5703125" customWidth="1"/>
    <col min="7" max="8" width="12.85546875" style="11" customWidth="1"/>
    <col min="9" max="10" width="13.140625" customWidth="1"/>
    <col min="11" max="12" width="13.7109375" customWidth="1"/>
    <col min="13" max="13" width="11.7109375" customWidth="1"/>
    <col min="16" max="16" width="10.28515625" customWidth="1"/>
  </cols>
  <sheetData>
    <row r="1" spans="1:13" ht="18.600000000000001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>
      <c r="B2" s="2"/>
      <c r="C2" t="s">
        <v>3</v>
      </c>
      <c r="D2" s="14">
        <v>50</v>
      </c>
      <c r="E2" s="2"/>
      <c r="F2" s="2"/>
      <c r="G2" t="s">
        <v>3</v>
      </c>
      <c r="H2" s="15">
        <f>SUMIF(J7:J16, "A", K7:K16)</f>
        <v>40382.5</v>
      </c>
      <c r="I2" s="2"/>
      <c r="J2" s="2"/>
      <c r="K2" s="2"/>
      <c r="L2" s="2"/>
    </row>
    <row r="3" spans="1:13">
      <c r="A3" s="8"/>
      <c r="B3" s="3"/>
      <c r="C3" t="s">
        <v>4</v>
      </c>
      <c r="D3" s="14">
        <v>75</v>
      </c>
      <c r="E3" s="3"/>
      <c r="F3" s="2"/>
      <c r="G3" t="s">
        <v>4</v>
      </c>
      <c r="H3" s="15">
        <f>SUMIF(J7:J16, "B", K7:K16)</f>
        <v>35100</v>
      </c>
      <c r="I3" s="2"/>
      <c r="J3" s="2"/>
      <c r="K3" s="2"/>
      <c r="L3" s="2"/>
    </row>
    <row r="4" spans="1:13">
      <c r="A4" s="2"/>
      <c r="B4" s="2"/>
      <c r="C4" t="s">
        <v>5</v>
      </c>
      <c r="D4" s="14">
        <v>100</v>
      </c>
      <c r="E4" s="2"/>
      <c r="F4" s="2"/>
      <c r="G4" t="s">
        <v>5</v>
      </c>
      <c r="H4" s="15">
        <f>SUMIF(J7:J16, "C", K7:K16)</f>
        <v>21350</v>
      </c>
      <c r="I4" s="2"/>
      <c r="J4" s="2"/>
      <c r="K4" s="2"/>
      <c r="L4" s="2"/>
    </row>
    <row r="5" spans="1:13" ht="15" thickBot="1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4.1" thickBot="1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3">
        <f>IF(G7&gt;10000, 10%, 0)</f>
        <v>0.1</v>
      </c>
      <c r="I7" s="5">
        <f>G7*H7</f>
        <v>1575</v>
      </c>
      <c r="J7" s="5" t="s">
        <v>23</v>
      </c>
      <c r="K7" s="5">
        <f>G7-I7</f>
        <v>14175</v>
      </c>
      <c r="L7" s="5" cm="1">
        <f t="array" ref="L7">_xlfn.IFS(J7="A", $D$2,J7="B", $D$3, J7="C", $D$4, TRUE, 0)</f>
        <v>75</v>
      </c>
      <c r="M7" s="9">
        <f>K7+L7</f>
        <v>14250</v>
      </c>
    </row>
    <row r="8" spans="1:13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3">
        <f t="shared" ref="H8:H16" si="1">IF(G8&gt;10000, 10%, 0)</f>
        <v>0</v>
      </c>
      <c r="I8" s="5">
        <f>G8*H8</f>
        <v>0</v>
      </c>
      <c r="J8" s="5" t="s">
        <v>26</v>
      </c>
      <c r="K8" s="5">
        <f t="shared" ref="K8:K16" si="2">G8-I8</f>
        <v>6300</v>
      </c>
      <c r="L8" s="5" cm="1">
        <f t="array" ref="L8">_xlfn.IFS(J8="A", $D$2,J8="B", $D$3, J8="C", $D$4, TRUE, 0)</f>
        <v>50</v>
      </c>
      <c r="M8" s="9">
        <f t="shared" ref="M8:M16" si="3">K8+L8</f>
        <v>6350</v>
      </c>
    </row>
    <row r="9" spans="1:13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3">
        <f t="shared" si="1"/>
        <v>0.1</v>
      </c>
      <c r="I9" s="5">
        <f t="shared" ref="I8:I16" si="4">G9*H9</f>
        <v>1425</v>
      </c>
      <c r="J9" s="5" t="s">
        <v>26</v>
      </c>
      <c r="K9" s="5">
        <f t="shared" si="2"/>
        <v>12825</v>
      </c>
      <c r="L9" s="5" cm="1">
        <f t="array" ref="L9">_xlfn.IFS(J9="A", $D$2,J9="B", $D$3, J9="C", $D$4, TRUE, 0)</f>
        <v>50</v>
      </c>
      <c r="M9" s="9">
        <f t="shared" si="3"/>
        <v>12875</v>
      </c>
    </row>
    <row r="10" spans="1:13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3">
        <f t="shared" si="1"/>
        <v>0.1</v>
      </c>
      <c r="I10" s="5">
        <f t="shared" si="4"/>
        <v>1150</v>
      </c>
      <c r="J10" s="5" t="s">
        <v>33</v>
      </c>
      <c r="K10" s="5">
        <f t="shared" si="2"/>
        <v>10350</v>
      </c>
      <c r="L10" s="5" cm="1">
        <f t="array" ref="L10">_xlfn.IFS(J10="A", $D$2,J10="B", $D$3, J10="C", $D$4, TRUE, 0)</f>
        <v>100</v>
      </c>
      <c r="M10" s="9">
        <f t="shared" si="3"/>
        <v>10450</v>
      </c>
    </row>
    <row r="11" spans="1:13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3">
        <f t="shared" si="1"/>
        <v>0.1</v>
      </c>
      <c r="I11" s="5">
        <f t="shared" si="4"/>
        <v>1050</v>
      </c>
      <c r="J11" s="5" t="s">
        <v>23</v>
      </c>
      <c r="K11" s="5">
        <f t="shared" si="2"/>
        <v>9450</v>
      </c>
      <c r="L11" s="5" cm="1">
        <f t="array" ref="L11">_xlfn.IFS(J11="A", $D$2,J11="B", $D$3, J11="C", $D$4, TRUE, 0)</f>
        <v>75</v>
      </c>
      <c r="M11" s="9">
        <f t="shared" si="3"/>
        <v>9525</v>
      </c>
    </row>
    <row r="12" spans="1:13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3">
        <f t="shared" si="1"/>
        <v>0.1</v>
      </c>
      <c r="I12" s="5">
        <f t="shared" si="4"/>
        <v>1417.5</v>
      </c>
      <c r="J12" s="5" t="s">
        <v>26</v>
      </c>
      <c r="K12" s="5">
        <f t="shared" si="2"/>
        <v>12757.5</v>
      </c>
      <c r="L12" s="5" cm="1">
        <f t="array" ref="L12">_xlfn.IFS(J12="A", $D$2,J12="B", $D$3, J12="C", $D$4, TRUE, 0)</f>
        <v>50</v>
      </c>
      <c r="M12" s="9">
        <f t="shared" si="3"/>
        <v>12807.5</v>
      </c>
    </row>
    <row r="13" spans="1:13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3">
        <f t="shared" si="1"/>
        <v>0</v>
      </c>
      <c r="I13" s="5">
        <f t="shared" si="4"/>
        <v>0</v>
      </c>
      <c r="J13" s="5" t="s">
        <v>33</v>
      </c>
      <c r="K13" s="5">
        <f t="shared" si="2"/>
        <v>6000</v>
      </c>
      <c r="L13" s="5" cm="1">
        <f t="array" ref="L13">_xlfn.IFS(J13="A", $D$2,J13="B", $D$3, J13="C", $D$4, TRUE, 0)</f>
        <v>100</v>
      </c>
      <c r="M13" s="9">
        <f t="shared" si="3"/>
        <v>6100</v>
      </c>
    </row>
    <row r="14" spans="1:13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3">
        <f t="shared" si="1"/>
        <v>0</v>
      </c>
      <c r="I14" s="5">
        <f t="shared" si="4"/>
        <v>0</v>
      </c>
      <c r="J14" s="5" t="s">
        <v>33</v>
      </c>
      <c r="K14" s="5">
        <f t="shared" si="2"/>
        <v>5000</v>
      </c>
      <c r="L14" s="5" cm="1">
        <f t="array" ref="L14">_xlfn.IFS(J14="A", $D$2,J14="B", $D$3, J14="C", $D$4, TRUE, 0)</f>
        <v>100</v>
      </c>
      <c r="M14" s="9">
        <f t="shared" si="3"/>
        <v>5100</v>
      </c>
    </row>
    <row r="15" spans="1:13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3">
        <f t="shared" si="1"/>
        <v>0</v>
      </c>
      <c r="I15" s="5">
        <f t="shared" si="4"/>
        <v>0</v>
      </c>
      <c r="J15" s="5" t="s">
        <v>26</v>
      </c>
      <c r="K15" s="5">
        <f t="shared" si="2"/>
        <v>8500</v>
      </c>
      <c r="L15" s="5" cm="1">
        <f t="array" ref="L15">_xlfn.IFS(J15="A", $D$2,J15="B", $D$3, J15="C", $D$4, TRUE, 0)</f>
        <v>50</v>
      </c>
      <c r="M15" s="9">
        <f t="shared" si="3"/>
        <v>8550</v>
      </c>
    </row>
    <row r="16" spans="1:13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3">
        <f t="shared" si="1"/>
        <v>0.1</v>
      </c>
      <c r="I16" s="5">
        <f t="shared" si="4"/>
        <v>1275</v>
      </c>
      <c r="J16" s="5" t="s">
        <v>23</v>
      </c>
      <c r="K16" s="5">
        <f t="shared" si="2"/>
        <v>11475</v>
      </c>
      <c r="L16" s="5" cm="1">
        <f t="array" ref="L16">_xlfn.IFS(J16="A", $D$2,J16="B", $D$3, J16="C", $D$4, TRUE, 0)</f>
        <v>75</v>
      </c>
      <c r="M16" s="9">
        <f t="shared" si="3"/>
        <v>11550</v>
      </c>
    </row>
  </sheetData>
  <mergeCells count="1">
    <mergeCell ref="C1:D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771D00-F70B-4A71-A745-CFD4425C64F9}"/>
</file>

<file path=customXml/itemProps2.xml><?xml version="1.0" encoding="utf-8"?>
<ds:datastoreItem xmlns:ds="http://schemas.openxmlformats.org/officeDocument/2006/customXml" ds:itemID="{2686B4B2-1502-4709-AD9B-9256F5B05C9C}"/>
</file>

<file path=customXml/itemProps3.xml><?xml version="1.0" encoding="utf-8"?>
<ds:datastoreItem xmlns:ds="http://schemas.openxmlformats.org/officeDocument/2006/customXml" ds:itemID="{75AEEDF9-0B70-424C-8DA2-B4649D7D6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2023-04-23T15:42:21Z</dcterms:created>
  <dcterms:modified xsi:type="dcterms:W3CDTF">2026-01-14T21:05:27Z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277100</vt:r8>
  </property>
  <property fmtid="{D5CDD505-2E9C-101B-9397-08002B2CF9AE}" pid="4" name="TriggerFlowInfo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{"FileActivityType":"9","FileActivityTimeStamp":"2023-05-15T10:33:47.603Z","FileActivityUsersOnPage":[{"DisplayName":"Margaret Brennan","Id":"brennanm@sureskills.com"}],"FileActivityNavigationId":null}</vt:lpwstr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MediaServiceImageTags">
    <vt:lpwstr/>
  </property>
</Properties>
</file>